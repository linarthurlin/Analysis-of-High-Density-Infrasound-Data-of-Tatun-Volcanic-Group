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nux\aries\data\Working\Infrasound\"/>
    </mc:Choice>
  </mc:AlternateContent>
  <xr:revisionPtr revIDLastSave="0" documentId="13_ncr:1_{58AD28CB-A75D-41B8-B390-694403600BF1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time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O27" i="1" l="1"/>
  <c r="N27" i="1"/>
  <c r="M27" i="1"/>
  <c r="O26" i="1"/>
  <c r="N26" i="1"/>
  <c r="M26" i="1"/>
  <c r="C33" i="1" l="1"/>
  <c r="C8" i="1"/>
  <c r="C21" i="1"/>
  <c r="E41" i="1"/>
  <c r="F41" i="1" s="1"/>
  <c r="G41" i="1" s="1"/>
  <c r="F40" i="1"/>
  <c r="G40" i="1" s="1"/>
  <c r="F39" i="1"/>
  <c r="G39" i="1" s="1"/>
  <c r="G38" i="1"/>
  <c r="F38" i="1"/>
  <c r="G37" i="1"/>
  <c r="F37" i="1"/>
  <c r="F36" i="1"/>
  <c r="G36" i="1" s="1"/>
  <c r="F35" i="1"/>
  <c r="G35" i="1" s="1"/>
  <c r="G34" i="1"/>
  <c r="F34" i="1"/>
  <c r="C34" i="1"/>
  <c r="D34" i="1" s="1"/>
  <c r="C35" i="1" s="1"/>
  <c r="F33" i="1"/>
  <c r="G33" i="1" s="1"/>
  <c r="C36" i="1" l="1"/>
  <c r="C38" i="1" s="1"/>
  <c r="C39" i="1" s="1"/>
  <c r="D36" i="1"/>
  <c r="C37" i="1" s="1"/>
  <c r="D37" i="1" s="1"/>
  <c r="E4" i="1"/>
  <c r="F4" i="1" s="1"/>
  <c r="G4" i="1" s="1"/>
  <c r="F3" i="1"/>
  <c r="G3" i="1" s="1"/>
  <c r="F2" i="1"/>
  <c r="G2" i="1" s="1"/>
  <c r="D2" i="1"/>
  <c r="C3" i="1" s="1"/>
  <c r="D3" i="1" s="1"/>
  <c r="E29" i="1"/>
  <c r="F29" i="1" s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D22" i="1"/>
  <c r="C23" i="1" s="1"/>
  <c r="C22" i="1"/>
  <c r="F21" i="1"/>
  <c r="G21" i="1" s="1"/>
  <c r="E17" i="1"/>
  <c r="F17" i="1" s="1"/>
  <c r="G17" i="1" s="1"/>
  <c r="F16" i="1"/>
  <c r="G16" i="1" s="1"/>
  <c r="F15" i="1"/>
  <c r="G15" i="1" s="1"/>
  <c r="F13" i="1"/>
  <c r="G13" i="1" s="1"/>
  <c r="F12" i="1"/>
  <c r="G12" i="1" s="1"/>
  <c r="F11" i="1"/>
  <c r="G11" i="1" s="1"/>
  <c r="F10" i="1"/>
  <c r="G10" i="1" s="1"/>
  <c r="F9" i="1"/>
  <c r="G9" i="1" s="1"/>
  <c r="C9" i="1"/>
  <c r="D9" i="1" s="1"/>
  <c r="C10" i="1" s="1"/>
  <c r="F8" i="1"/>
  <c r="G8" i="1" s="1"/>
  <c r="D11" i="1" l="1"/>
  <c r="C12" i="1" s="1"/>
  <c r="D12" i="1" s="1"/>
  <c r="C11" i="1"/>
  <c r="C13" i="1" s="1"/>
  <c r="C15" i="1" s="1"/>
  <c r="D24" i="1"/>
  <c r="C25" i="1" s="1"/>
  <c r="D25" i="1" s="1"/>
  <c r="C24" i="1"/>
  <c r="C26" i="1" s="1"/>
  <c r="C27" i="1" s="1"/>
</calcChain>
</file>

<file path=xl/sharedStrings.xml><?xml version="1.0" encoding="utf-8"?>
<sst xmlns="http://schemas.openxmlformats.org/spreadsheetml/2006/main" count="55" uniqueCount="18">
  <si>
    <t>Program</t>
  </si>
  <si>
    <t>CPU cores</t>
  </si>
  <si>
    <t>input</t>
  </si>
  <si>
    <t>output</t>
  </si>
  <si>
    <t>seconds</t>
  </si>
  <si>
    <t>minutes</t>
  </si>
  <si>
    <t>hours</t>
  </si>
  <si>
    <t>1_transformate_mseed_to_pickle.py</t>
  </si>
  <si>
    <t>1b_plot_mseed.py</t>
  </si>
  <si>
    <t>2_split_and_fft.py</t>
  </si>
  <si>
    <t>2b_plot_th_and_fft.py</t>
  </si>
  <si>
    <t>3_get_base.py</t>
  </si>
  <si>
    <t>4_get_peaks.py</t>
  </si>
  <si>
    <t>4b_plot_peaks.py</t>
  </si>
  <si>
    <t>5_frequency_clustering.py</t>
  </si>
  <si>
    <t>5b_collect_images_for_experts.py</t>
  </si>
  <si>
    <t>5c_copy_clustering_images.py</t>
  </si>
  <si>
    <t>5_frequency_clustering.py (DTW)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</si>
</sst>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_ "/>
  </numFmts>
  <fonts count="3" x14ac:knownFonts="1">
    <font>
      <sz val="12"/>
      <color rgb="FF000000"/>
      <name val="新細明體"/>
      <family val="2"/>
      <charset val="136"/>
    </font>
    <font>
      <sz val="12"/>
      <color rgb="FF000000"/>
      <name val="Times New Roman"/>
      <family val="1"/>
      <charset val="1"/>
    </font>
    <font>
      <sz val="9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177" fontId="1" fillId="2" borderId="0" xfId="0" applyNumberFormat="1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1"/>
  <sheetViews>
    <sheetView tabSelected="1" zoomScaleNormal="100" workbookViewId="0">
      <selection activeCell="I10" sqref="I10"/>
    </sheetView>
  </sheetViews>
  <sheetFormatPr defaultColWidth="8.7265625" defaultRowHeight="17" x14ac:dyDescent="0.4"/>
  <cols>
    <col min="1" max="1" width="34.90625" style="1" bestFit="1" customWidth="1"/>
    <col min="2" max="2" width="10.7265625" style="1" customWidth="1"/>
    <col min="3" max="4" width="7.81640625" style="1" bestFit="1" customWidth="1"/>
    <col min="5" max="5" width="8.1796875" style="1" customWidth="1"/>
    <col min="6" max="6" width="8.08984375" style="1" customWidth="1"/>
    <col min="7" max="7" width="6.08984375" style="1" customWidth="1"/>
    <col min="8" max="1024" width="8.7265625" style="1"/>
  </cols>
  <sheetData>
    <row r="1" spans="1: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">
      <c r="A2" s="1" t="s">
        <v>7</v>
      </c>
      <c r="B2" s="1">
        <v>8</v>
      </c>
      <c r="C2" s="3">
        <v>187</v>
      </c>
      <c r="D2" s="3">
        <f>C2</f>
        <v>187</v>
      </c>
      <c r="E2" s="3">
        <v>83</v>
      </c>
      <c r="F2" s="4">
        <f t="shared" ref="F2:G2" si="0">E2/60</f>
        <v>1.3833333333333333</v>
      </c>
      <c r="G2" s="4">
        <f t="shared" si="0"/>
        <v>2.3055555555555555E-2</v>
      </c>
    </row>
    <row r="3" spans="1:7" x14ac:dyDescent="0.4">
      <c r="A3" s="1" t="s">
        <v>8</v>
      </c>
      <c r="B3" s="1">
        <v>1</v>
      </c>
      <c r="C3" s="3">
        <f>D2</f>
        <v>187</v>
      </c>
      <c r="D3" s="3">
        <f>C3</f>
        <v>187</v>
      </c>
      <c r="E3" s="3">
        <v>470</v>
      </c>
      <c r="F3" s="4">
        <f t="shared" ref="F3:G4" si="1">E3/60</f>
        <v>7.833333333333333</v>
      </c>
      <c r="G3" s="4">
        <f t="shared" si="1"/>
        <v>0.13055555555555556</v>
      </c>
    </row>
    <row r="4" spans="1:7" x14ac:dyDescent="0.4">
      <c r="C4" s="3"/>
      <c r="D4" s="3"/>
      <c r="E4" s="3">
        <f>SUM(E2:E3)</f>
        <v>553</v>
      </c>
      <c r="F4" s="4">
        <f t="shared" si="1"/>
        <v>9.2166666666666668</v>
      </c>
      <c r="G4" s="4">
        <f t="shared" si="1"/>
        <v>0.15361111111111111</v>
      </c>
    </row>
    <row r="6" spans="1:7" x14ac:dyDescent="0.4">
      <c r="A6" s="2">
        <v>3600</v>
      </c>
      <c r="B6" s="2"/>
      <c r="C6" s="2"/>
      <c r="D6" s="2"/>
      <c r="E6" s="2"/>
      <c r="F6" s="2"/>
      <c r="G6" s="2"/>
    </row>
    <row r="7" spans="1:7" x14ac:dyDescent="0.4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</row>
    <row r="8" spans="1:7" x14ac:dyDescent="0.4">
      <c r="A8" s="1" t="s">
        <v>9</v>
      </c>
      <c r="B8" s="1">
        <v>8</v>
      </c>
      <c r="C8" s="3">
        <f>$D$3</f>
        <v>187</v>
      </c>
      <c r="D8" s="3">
        <v>3578</v>
      </c>
      <c r="E8" s="3">
        <v>94</v>
      </c>
      <c r="F8" s="4">
        <f t="shared" ref="F8:G17" si="2">E8/60</f>
        <v>1.5666666666666667</v>
      </c>
      <c r="G8" s="4">
        <f t="shared" si="2"/>
        <v>2.6111111111111109E-2</v>
      </c>
    </row>
    <row r="9" spans="1:7" x14ac:dyDescent="0.4">
      <c r="A9" s="1" t="s">
        <v>10</v>
      </c>
      <c r="B9" s="1">
        <v>1</v>
      </c>
      <c r="C9" s="3">
        <f>D8</f>
        <v>3578</v>
      </c>
      <c r="D9" s="3">
        <f>C9</f>
        <v>3578</v>
      </c>
      <c r="E9" s="3">
        <v>11622</v>
      </c>
      <c r="F9" s="4">
        <f t="shared" si="2"/>
        <v>193.7</v>
      </c>
      <c r="G9" s="4">
        <f t="shared" si="2"/>
        <v>3.2283333333333331</v>
      </c>
    </row>
    <row r="10" spans="1:7" x14ac:dyDescent="0.4">
      <c r="A10" s="1" t="s">
        <v>11</v>
      </c>
      <c r="B10" s="1">
        <v>8</v>
      </c>
      <c r="C10" s="3">
        <f>D9</f>
        <v>3578</v>
      </c>
      <c r="D10" s="3">
        <v>7</v>
      </c>
      <c r="E10" s="3">
        <v>36</v>
      </c>
      <c r="F10" s="4">
        <f t="shared" si="2"/>
        <v>0.6</v>
      </c>
      <c r="G10" s="4">
        <f t="shared" si="2"/>
        <v>0.01</v>
      </c>
    </row>
    <row r="11" spans="1:7" x14ac:dyDescent="0.4">
      <c r="A11" s="1" t="s">
        <v>12</v>
      </c>
      <c r="B11" s="1">
        <v>8</v>
      </c>
      <c r="C11" s="3">
        <f>C10+D10</f>
        <v>3585</v>
      </c>
      <c r="D11" s="3">
        <f>C10*2</f>
        <v>7156</v>
      </c>
      <c r="E11" s="3">
        <v>10</v>
      </c>
      <c r="F11" s="4">
        <f t="shared" si="2"/>
        <v>0.16666666666666666</v>
      </c>
      <c r="G11" s="4">
        <f t="shared" si="2"/>
        <v>2.7777777777777775E-3</v>
      </c>
    </row>
    <row r="12" spans="1:7" x14ac:dyDescent="0.4">
      <c r="A12" s="1" t="s">
        <v>13</v>
      </c>
      <c r="B12" s="1">
        <v>1</v>
      </c>
      <c r="C12" s="3">
        <f>D11</f>
        <v>7156</v>
      </c>
      <c r="D12" s="3">
        <f>C12/2</f>
        <v>3578</v>
      </c>
      <c r="E12" s="3">
        <v>8620</v>
      </c>
      <c r="F12" s="4">
        <f t="shared" si="2"/>
        <v>143.66666666666666</v>
      </c>
      <c r="G12" s="4">
        <f t="shared" si="2"/>
        <v>2.3944444444444444</v>
      </c>
    </row>
    <row r="13" spans="1:7" x14ac:dyDescent="0.4">
      <c r="A13" s="1" t="s">
        <v>14</v>
      </c>
      <c r="B13" s="1">
        <v>1</v>
      </c>
      <c r="C13" s="3">
        <f>C11</f>
        <v>3585</v>
      </c>
      <c r="D13" s="3">
        <v>20</v>
      </c>
      <c r="E13" s="3">
        <v>36</v>
      </c>
      <c r="F13" s="4">
        <f t="shared" si="2"/>
        <v>0.6</v>
      </c>
      <c r="G13" s="4">
        <f t="shared" si="2"/>
        <v>0.01</v>
      </c>
    </row>
    <row r="14" spans="1:7" x14ac:dyDescent="0.4">
      <c r="A14" s="5" t="s">
        <v>17</v>
      </c>
      <c r="B14" s="5">
        <v>1</v>
      </c>
      <c r="C14" s="6">
        <f>C13</f>
        <v>3585</v>
      </c>
      <c r="D14" s="6">
        <f>D13</f>
        <v>20</v>
      </c>
      <c r="E14" s="6">
        <f>3600+18*60+11</f>
        <v>4691</v>
      </c>
      <c r="F14" s="7">
        <f t="shared" ref="F14" si="3">E14/60</f>
        <v>78.183333333333337</v>
      </c>
      <c r="G14" s="7">
        <f t="shared" ref="G14" si="4">F14/60</f>
        <v>1.3030555555555556</v>
      </c>
    </row>
    <row r="15" spans="1:7" x14ac:dyDescent="0.4">
      <c r="A15" s="1" t="s">
        <v>15</v>
      </c>
      <c r="B15" s="1">
        <v>1</v>
      </c>
      <c r="C15" s="3">
        <f>C13</f>
        <v>3585</v>
      </c>
      <c r="D15" s="3">
        <v>32</v>
      </c>
      <c r="E15" s="3">
        <v>165</v>
      </c>
      <c r="F15" s="4">
        <f t="shared" si="2"/>
        <v>2.75</v>
      </c>
      <c r="G15" s="4">
        <f t="shared" si="2"/>
        <v>4.583333333333333E-2</v>
      </c>
    </row>
    <row r="16" spans="1:7" x14ac:dyDescent="0.4">
      <c r="A16" s="1" t="s">
        <v>16</v>
      </c>
      <c r="B16" s="1">
        <v>1</v>
      </c>
      <c r="C16" s="3">
        <v>1</v>
      </c>
      <c r="D16" s="3">
        <v>32</v>
      </c>
      <c r="E16" s="3">
        <v>4</v>
      </c>
      <c r="F16" s="4">
        <f t="shared" si="2"/>
        <v>6.6666666666666666E-2</v>
      </c>
      <c r="G16" s="4">
        <f t="shared" si="2"/>
        <v>1.1111111111111111E-3</v>
      </c>
    </row>
    <row r="17" spans="1:15" x14ac:dyDescent="0.4">
      <c r="E17" s="3">
        <f>SUM(E8:E16)</f>
        <v>25278</v>
      </c>
      <c r="F17" s="4">
        <f t="shared" si="2"/>
        <v>421.3</v>
      </c>
      <c r="G17" s="4">
        <f t="shared" si="2"/>
        <v>7.0216666666666665</v>
      </c>
    </row>
    <row r="19" spans="1:15" x14ac:dyDescent="0.4">
      <c r="A19" s="2">
        <v>1800</v>
      </c>
      <c r="B19" s="2"/>
      <c r="C19" s="2"/>
      <c r="D19" s="2"/>
      <c r="E19" s="2"/>
      <c r="F19" s="2"/>
      <c r="G19" s="2"/>
    </row>
    <row r="20" spans="1:15" x14ac:dyDescent="0.4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</row>
    <row r="21" spans="1:15" x14ac:dyDescent="0.4">
      <c r="A21" s="1" t="s">
        <v>9</v>
      </c>
      <c r="B21" s="1">
        <v>8</v>
      </c>
      <c r="C21" s="3">
        <f>$D$3</f>
        <v>187</v>
      </c>
      <c r="D21" s="3">
        <v>10090</v>
      </c>
      <c r="E21" s="3">
        <v>482</v>
      </c>
      <c r="F21" s="4">
        <f t="shared" ref="F21:G29" si="5">E21/60</f>
        <v>8.0333333333333332</v>
      </c>
      <c r="G21" s="4">
        <f t="shared" si="5"/>
        <v>0.13388888888888889</v>
      </c>
    </row>
    <row r="22" spans="1:15" x14ac:dyDescent="0.4">
      <c r="A22" s="1" t="s">
        <v>10</v>
      </c>
      <c r="B22" s="1">
        <v>1</v>
      </c>
      <c r="C22" s="3">
        <f>D21</f>
        <v>10090</v>
      </c>
      <c r="D22" s="3">
        <f>C22</f>
        <v>10090</v>
      </c>
      <c r="E22" s="3"/>
      <c r="F22" s="4">
        <f t="shared" si="5"/>
        <v>0</v>
      </c>
      <c r="G22" s="4">
        <f t="shared" si="5"/>
        <v>0</v>
      </c>
      <c r="M22" s="1">
        <v>850</v>
      </c>
      <c r="N22" s="1">
        <v>482</v>
      </c>
      <c r="O22" s="1">
        <v>94</v>
      </c>
    </row>
    <row r="23" spans="1:15" x14ac:dyDescent="0.4">
      <c r="A23" s="1" t="s">
        <v>11</v>
      </c>
      <c r="B23" s="1">
        <v>8</v>
      </c>
      <c r="C23" s="3">
        <f>D22</f>
        <v>10090</v>
      </c>
      <c r="D23" s="3">
        <v>7</v>
      </c>
      <c r="E23" s="3">
        <v>290</v>
      </c>
      <c r="F23" s="4">
        <f t="shared" si="5"/>
        <v>4.833333333333333</v>
      </c>
      <c r="G23" s="4">
        <f t="shared" si="5"/>
        <v>8.0555555555555547E-2</v>
      </c>
      <c r="M23" s="1">
        <v>393</v>
      </c>
      <c r="N23" s="1">
        <v>290</v>
      </c>
      <c r="O23" s="1">
        <v>36</v>
      </c>
    </row>
    <row r="24" spans="1:15" x14ac:dyDescent="0.4">
      <c r="A24" s="1" t="s">
        <v>12</v>
      </c>
      <c r="B24" s="1">
        <v>8</v>
      </c>
      <c r="C24" s="3">
        <f>C23+D23</f>
        <v>10097</v>
      </c>
      <c r="D24" s="3">
        <f>C23*2</f>
        <v>20180</v>
      </c>
      <c r="E24" s="3">
        <v>27</v>
      </c>
      <c r="F24" s="4">
        <f t="shared" si="5"/>
        <v>0.45</v>
      </c>
      <c r="G24" s="4">
        <f t="shared" si="5"/>
        <v>7.5000000000000006E-3</v>
      </c>
      <c r="M24" s="1">
        <v>118</v>
      </c>
      <c r="N24" s="1">
        <v>27</v>
      </c>
      <c r="O24" s="1">
        <v>10</v>
      </c>
    </row>
    <row r="25" spans="1:15" x14ac:dyDescent="0.4">
      <c r="A25" s="1" t="s">
        <v>13</v>
      </c>
      <c r="B25" s="1">
        <v>1</v>
      </c>
      <c r="C25" s="3">
        <f>D24</f>
        <v>20180</v>
      </c>
      <c r="D25" s="3">
        <f>C25/2</f>
        <v>10090</v>
      </c>
      <c r="E25" s="3"/>
      <c r="F25" s="4">
        <f t="shared" si="5"/>
        <v>0</v>
      </c>
      <c r="G25" s="4">
        <f t="shared" si="5"/>
        <v>0</v>
      </c>
      <c r="M25" s="1">
        <v>118</v>
      </c>
      <c r="N25" s="1">
        <v>56</v>
      </c>
      <c r="O25" s="1">
        <v>36</v>
      </c>
    </row>
    <row r="26" spans="1:15" x14ac:dyDescent="0.4">
      <c r="A26" s="1" t="s">
        <v>14</v>
      </c>
      <c r="B26" s="1">
        <v>1</v>
      </c>
      <c r="C26" s="3">
        <f>C24</f>
        <v>10097</v>
      </c>
      <c r="D26" s="3">
        <v>20</v>
      </c>
      <c r="E26" s="3">
        <v>56</v>
      </c>
      <c r="F26" s="4">
        <f t="shared" si="5"/>
        <v>0.93333333333333335</v>
      </c>
      <c r="G26" s="4">
        <f t="shared" si="5"/>
        <v>1.5555555555555555E-2</v>
      </c>
      <c r="M26" s="1">
        <f>SUM(M22:M25)</f>
        <v>1479</v>
      </c>
      <c r="N26" s="1">
        <f>SUM(N22:N25)</f>
        <v>855</v>
      </c>
      <c r="O26" s="1">
        <f>SUM(O22:O25)</f>
        <v>176</v>
      </c>
    </row>
    <row r="27" spans="1:15" x14ac:dyDescent="0.4">
      <c r="A27" s="1" t="s">
        <v>15</v>
      </c>
      <c r="B27" s="1">
        <v>1</v>
      </c>
      <c r="C27" s="3">
        <f>C26</f>
        <v>10097</v>
      </c>
      <c r="D27" s="3"/>
      <c r="E27" s="3">
        <v>650</v>
      </c>
      <c r="F27" s="4">
        <f t="shared" si="5"/>
        <v>10.833333333333334</v>
      </c>
      <c r="G27" s="4">
        <f t="shared" si="5"/>
        <v>0.18055555555555555</v>
      </c>
      <c r="M27" s="1">
        <f>M26/60</f>
        <v>24.65</v>
      </c>
      <c r="N27" s="1">
        <f>N26/60</f>
        <v>14.25</v>
      </c>
      <c r="O27" s="1">
        <f>O26/60</f>
        <v>2.9333333333333331</v>
      </c>
    </row>
    <row r="28" spans="1:15" x14ac:dyDescent="0.4">
      <c r="A28" s="1" t="s">
        <v>16</v>
      </c>
      <c r="B28" s="1">
        <v>1</v>
      </c>
      <c r="C28" s="3">
        <v>1</v>
      </c>
      <c r="D28" s="3">
        <v>191</v>
      </c>
      <c r="E28" s="3"/>
      <c r="F28" s="4">
        <f t="shared" si="5"/>
        <v>0</v>
      </c>
      <c r="G28" s="4">
        <f t="shared" si="5"/>
        <v>0</v>
      </c>
    </row>
    <row r="29" spans="1:15" x14ac:dyDescent="0.4">
      <c r="E29" s="3">
        <f>SUM(E21:E28)</f>
        <v>1505</v>
      </c>
      <c r="F29" s="4">
        <f t="shared" si="5"/>
        <v>25.083333333333332</v>
      </c>
      <c r="G29" s="4">
        <f t="shared" si="5"/>
        <v>0.41805555555555551</v>
      </c>
    </row>
    <row r="31" spans="1:15" x14ac:dyDescent="0.4">
      <c r="A31" s="2">
        <v>900</v>
      </c>
      <c r="B31" s="2"/>
      <c r="C31" s="2"/>
      <c r="D31" s="2"/>
      <c r="E31" s="2"/>
      <c r="F31" s="2"/>
      <c r="G31" s="2"/>
    </row>
    <row r="32" spans="1:15" x14ac:dyDescent="0.4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</row>
    <row r="33" spans="1:7" x14ac:dyDescent="0.4">
      <c r="A33" s="1" t="s">
        <v>9</v>
      </c>
      <c r="B33" s="1">
        <v>8</v>
      </c>
      <c r="C33" s="3">
        <f>$D$3</f>
        <v>187</v>
      </c>
      <c r="D33" s="3">
        <v>20389</v>
      </c>
      <c r="E33" s="3">
        <v>850</v>
      </c>
      <c r="F33" s="4">
        <f t="shared" ref="F33:F41" si="6">E33/60</f>
        <v>14.166666666666666</v>
      </c>
      <c r="G33" s="4">
        <f t="shared" ref="G33:G41" si="7">F33/60</f>
        <v>0.2361111111111111</v>
      </c>
    </row>
    <row r="34" spans="1:7" x14ac:dyDescent="0.4">
      <c r="A34" s="1" t="s">
        <v>10</v>
      </c>
      <c r="B34" s="1">
        <v>1</v>
      </c>
      <c r="C34" s="3">
        <f>D33</f>
        <v>20389</v>
      </c>
      <c r="D34" s="3">
        <f>C34</f>
        <v>20389</v>
      </c>
      <c r="E34" s="3"/>
      <c r="F34" s="4">
        <f t="shared" si="6"/>
        <v>0</v>
      </c>
      <c r="G34" s="4">
        <f t="shared" si="7"/>
        <v>0</v>
      </c>
    </row>
    <row r="35" spans="1:7" x14ac:dyDescent="0.4">
      <c r="A35" s="1" t="s">
        <v>11</v>
      </c>
      <c r="B35" s="1">
        <v>8</v>
      </c>
      <c r="C35" s="3">
        <f>D34</f>
        <v>20389</v>
      </c>
      <c r="D35" s="3">
        <v>7</v>
      </c>
      <c r="E35" s="3">
        <v>393</v>
      </c>
      <c r="F35" s="4">
        <f t="shared" si="6"/>
        <v>6.55</v>
      </c>
      <c r="G35" s="4">
        <f t="shared" si="7"/>
        <v>0.10916666666666666</v>
      </c>
    </row>
    <row r="36" spans="1:7" x14ac:dyDescent="0.4">
      <c r="A36" s="1" t="s">
        <v>12</v>
      </c>
      <c r="B36" s="1">
        <v>8</v>
      </c>
      <c r="C36" s="3">
        <f>C35+D35</f>
        <v>20396</v>
      </c>
      <c r="D36" s="3">
        <f>C35*2</f>
        <v>40778</v>
      </c>
      <c r="E36" s="3">
        <v>67</v>
      </c>
      <c r="F36" s="4">
        <f t="shared" si="6"/>
        <v>1.1166666666666667</v>
      </c>
      <c r="G36" s="4">
        <f t="shared" si="7"/>
        <v>1.8611111111111113E-2</v>
      </c>
    </row>
    <row r="37" spans="1:7" x14ac:dyDescent="0.4">
      <c r="A37" s="1" t="s">
        <v>13</v>
      </c>
      <c r="B37" s="1">
        <v>1</v>
      </c>
      <c r="C37" s="3">
        <f>D36</f>
        <v>40778</v>
      </c>
      <c r="D37" s="3">
        <f>C37/2</f>
        <v>20389</v>
      </c>
      <c r="E37" s="3"/>
      <c r="F37" s="4">
        <f t="shared" si="6"/>
        <v>0</v>
      </c>
      <c r="G37" s="4">
        <f t="shared" si="7"/>
        <v>0</v>
      </c>
    </row>
    <row r="38" spans="1:7" x14ac:dyDescent="0.4">
      <c r="A38" s="1" t="s">
        <v>14</v>
      </c>
      <c r="B38" s="1">
        <v>1</v>
      </c>
      <c r="C38" s="3">
        <f>C36</f>
        <v>20396</v>
      </c>
      <c r="D38" s="3">
        <v>20</v>
      </c>
      <c r="E38" s="3">
        <v>118</v>
      </c>
      <c r="F38" s="4">
        <f t="shared" si="6"/>
        <v>1.9666666666666666</v>
      </c>
      <c r="G38" s="4">
        <f t="shared" si="7"/>
        <v>3.2777777777777774E-2</v>
      </c>
    </row>
    <row r="39" spans="1:7" x14ac:dyDescent="0.4">
      <c r="A39" s="1" t="s">
        <v>15</v>
      </c>
      <c r="B39" s="1">
        <v>1</v>
      </c>
      <c r="C39" s="3">
        <f>C38</f>
        <v>20396</v>
      </c>
      <c r="D39" s="3"/>
      <c r="E39" s="3">
        <v>1232</v>
      </c>
      <c r="F39" s="4">
        <f t="shared" si="6"/>
        <v>20.533333333333335</v>
      </c>
      <c r="G39" s="4">
        <f t="shared" si="7"/>
        <v>0.34222222222222226</v>
      </c>
    </row>
    <row r="40" spans="1:7" x14ac:dyDescent="0.4">
      <c r="A40" s="1" t="s">
        <v>16</v>
      </c>
      <c r="B40" s="1">
        <v>1</v>
      </c>
      <c r="C40" s="3">
        <v>1</v>
      </c>
      <c r="D40" s="3">
        <v>361</v>
      </c>
      <c r="E40" s="3"/>
      <c r="F40" s="4">
        <f t="shared" si="6"/>
        <v>0</v>
      </c>
      <c r="G40" s="4">
        <f t="shared" si="7"/>
        <v>0</v>
      </c>
    </row>
    <row r="41" spans="1:7" x14ac:dyDescent="0.4">
      <c r="E41" s="3">
        <f>SUM(E33:E40)</f>
        <v>2660</v>
      </c>
      <c r="F41" s="4">
        <f t="shared" si="6"/>
        <v>44.333333333333336</v>
      </c>
      <c r="G41" s="4">
        <f t="shared" si="7"/>
        <v>0.73888888888888893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 r:id="rId1"/>
  <ignoredErrors>
    <ignoredError sqref="C11 C24 C36 C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aries</dc:creator>
  <dc:description/>
  <cp:lastModifiedBy>aries</cp:lastModifiedBy>
  <cp:revision>27</cp:revision>
  <dcterms:created xsi:type="dcterms:W3CDTF">2023-06-14T11:33:54Z</dcterms:created>
  <dcterms:modified xsi:type="dcterms:W3CDTF">2023-06-20T10:32:39Z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